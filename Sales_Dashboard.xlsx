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Kartik Gupta - Data Analytics Portfolio\Excel Projects\"/>
    </mc:Choice>
  </mc:AlternateContent>
  <xr:revisionPtr revIDLastSave="0" documentId="8_{CAB038B6-9B23-41AD-ABD9-FDF1F2B6AAA1}" xr6:coauthVersionLast="47" xr6:coauthVersionMax="47" xr10:uidLastSave="{00000000-0000-0000-0000-000000000000}"/>
  <bookViews>
    <workbookView xWindow="-108" yWindow="-108" windowWidth="23256" windowHeight="12456" xr2:uid="{C1AACF68-8950-453B-B4B4-B5C04C8B0502}"/>
  </bookViews>
  <sheets>
    <sheet name="Sales Performance Raw Data" sheetId="3" r:id="rId1"/>
    <sheet name="Sales Performance Cleaned Data" sheetId="5" r:id="rId2"/>
    <sheet name="Pivot_Tables" sheetId="6" r:id="rId3"/>
  </sheets>
  <definedNames>
    <definedName name="_xlcn.WorksheetConnection_Book1Sales_Performance_Data__251" hidden="1">Sales_Performance_Data__25[]</definedName>
    <definedName name="ExternalData_1" localSheetId="1" hidden="1">'Sales Performance Cleaned Data'!$A$1:$I$21</definedName>
    <definedName name="ExternalData_1" localSheetId="0" hidden="1">'Sales Performance Raw Data'!$A$1:$I$21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Performance_Data__25" name="Sales_Performance_Data__25" connection="WorksheetConnection_Book1!Sales_Performance_Data__2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9DBDE0-0164-4415-97DC-DE10942AE951}" keepAlive="1" name="Query - Marketing Campaign Data" description="Connection to the 'Marketing Campaign Data' query in the workbook." type="5" refreshedVersion="0" background="1">
    <dbPr connection="Provider=Microsoft.Mashup.OleDb.1;Data Source=$Workbook$;Location=&quot;Marketing Campaign Data&quot;;Extended Properties=&quot;&quot;" command="SELECT * FROM [Marketing Campaign Data]"/>
  </connection>
  <connection id="2" xr16:uid="{04CB983F-82A2-4572-B9B3-B765AA0EEB04}" keepAlive="1" name="Query - Sales Performance Data (2)" description="Connection to the 'Sales Performance Data (2)' query in the workbook." type="5" refreshedVersion="8" background="1" saveData="1">
    <dbPr connection="Provider=Microsoft.Mashup.OleDb.1;Data Source=$Workbook$;Location=&quot;Sales Performance Data (2)&quot;;Extended Properties=&quot;&quot;" command="SELECT * FROM [Sales Performance Data (2)]"/>
  </connection>
  <connection id="3" xr16:uid="{D869E194-5C60-463D-B130-7C853794AC33}" keepAlive="1" name="Query - Sales Performance Data (3)" description="Connection to the 'Sales Performance Data (3)' query in the workbook." type="5" refreshedVersion="8" background="1" saveData="1">
    <dbPr connection="Provider=Microsoft.Mashup.OleDb.1;Data Source=$Workbook$;Location=&quot;Sales Performance Data (3)&quot;;Extended Properties=&quot;&quot;" command="SELECT * FROM [Sales Performance Data (3)]"/>
  </connection>
  <connection id="4" xr16:uid="{D10E7EA8-4ABD-4006-905C-41BF9476A1A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E8EA1255-A589-4B6E-9231-EDE8F8100E44}" name="WorksheetConnection_Book1!Sales_Performance_Data__25" type="102" refreshedVersion="8" minRefreshableVersion="5">
    <extLst>
      <ext xmlns:x15="http://schemas.microsoft.com/office/spreadsheetml/2010/11/main" uri="{DE250136-89BD-433C-8126-D09CA5730AF9}">
        <x15:connection id="Sales_Performance_Data__25">
          <x15:rangePr sourceName="_xlcn.WorksheetConnection_Book1Sales_Performance_Data__251"/>
        </x15:connection>
      </ext>
    </extLst>
  </connection>
</connections>
</file>

<file path=xl/sharedStrings.xml><?xml version="1.0" encoding="utf-8"?>
<sst xmlns="http://schemas.openxmlformats.org/spreadsheetml/2006/main" count="162" uniqueCount="30">
  <si>
    <t>OrderID</t>
  </si>
  <si>
    <t>Date</t>
  </si>
  <si>
    <t>Region</t>
  </si>
  <si>
    <t>Salesperson</t>
  </si>
  <si>
    <t>Product</t>
  </si>
  <si>
    <t>Quantity</t>
  </si>
  <si>
    <t>Unit Price</t>
  </si>
  <si>
    <t>Discount</t>
  </si>
  <si>
    <t>Revenue</t>
  </si>
  <si>
    <t>North</t>
  </si>
  <si>
    <t>Riya Sharma</t>
  </si>
  <si>
    <t>Laptop</t>
  </si>
  <si>
    <t>South</t>
  </si>
  <si>
    <t>Arjun Patel</t>
  </si>
  <si>
    <t>Mouse</t>
  </si>
  <si>
    <t>West</t>
  </si>
  <si>
    <t>Karan Mehta</t>
  </si>
  <si>
    <t>Keyboard</t>
  </si>
  <si>
    <t>East</t>
  </si>
  <si>
    <t>Pooja Rao</t>
  </si>
  <si>
    <t>Monitor</t>
  </si>
  <si>
    <t>Headphones</t>
  </si>
  <si>
    <t>Month</t>
  </si>
  <si>
    <t>Year</t>
  </si>
  <si>
    <t>Jan</t>
  </si>
  <si>
    <t>Feb</t>
  </si>
  <si>
    <t>Grand Total</t>
  </si>
  <si>
    <t>Sum of Revenue</t>
  </si>
  <si>
    <t>Sales Performance Dashboard - 2024</t>
  </si>
  <si>
    <t>Created by : Kartik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</si>
</sst>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0" fillId="0" borderId="5" xfId="0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164" fontId="0" fillId="0" borderId="8" xfId="0" applyNumberFormat="1" applyBorder="1"/>
    <xf numFmtId="9" fontId="0" fillId="0" borderId="8" xfId="1" applyFont="1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164" fontId="0" fillId="0" borderId="3" xfId="0" applyNumberFormat="1" applyBorder="1"/>
    <xf numFmtId="9" fontId="0" fillId="0" borderId="3" xfId="1" applyFont="1" applyBorder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/>
  </cellXfs>
  <cellStyles count="2">
    <cellStyle name="Normal" xfId="0" builtinId="0"/>
    <cellStyle name="Percent" xfId="1" builtinId="5"/>
  </cellStyles>
  <dxfs count="52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color rgb="FF9C0006"/>
      </font>
      <fill>
        <patternFill>
          <bgColor rgb="FFFFC7CE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</border>
    </dxf>
  </dxfs>
  <tableStyles count="2" defaultTableStyle="TableStyleMedium2" defaultPivotStyle="PivotStyleLight16">
    <tableStyle name="Slicer Style 1" pivot="0" table="0" count="1" xr9:uid="{894C3AB6-32C2-484E-8503-565D0179878B}">
      <tableStyleElement type="wholeTable" dxfId="51"/>
    </tableStyle>
    <tableStyle name="Slicer Style 2" pivot="0" table="0" count="1" xr9:uid="{3043A29E-370E-436C-891E-6231D9CB0C7E}">
      <tableStyleElement type="wholeTable" dxfId="50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1"/>
              <c:y val="-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6666666666666666E-2"/>
              <c:y val="-0.1157407407407407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FD-4627-BD33-0C162170809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FD-4627-BD33-0C1621708098}"/>
              </c:ext>
            </c:extLst>
          </c:dPt>
          <c:dLbls>
            <c:dLbl>
              <c:idx val="0"/>
              <c:layout>
                <c:manualLayout>
                  <c:x val="0.1"/>
                  <c:y val="-5.55555555555555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FD-4627-BD33-0C1621708098}"/>
                </c:ext>
              </c:extLst>
            </c:dLbl>
            <c:dLbl>
              <c:idx val="1"/>
              <c:layout>
                <c:manualLayout>
                  <c:x val="1.6666666666666666E-2"/>
                  <c:y val="-0.1157407407407407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FD-4627-BD33-0C162170809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Pivot_Tables!$A$18:$A$20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Pivot_Tables!$B$18:$B$20</c:f>
              <c:numCache>
                <c:formatCode>_ [$₹-4009]\ * #,##0.00_ ;_ [$₹-4009]\ * \-#,##0.00_ ;_ [$₹-4009]\ * "-"??_ ;_ @_ </c:formatCode>
                <c:ptCount val="2"/>
                <c:pt idx="0">
                  <c:v>575045</c:v>
                </c:pt>
                <c:pt idx="1">
                  <c:v>128147.5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D-4627-BD33-0C1621708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166623"/>
        <c:axId val="391290687"/>
      </c:lineChart>
      <c:catAx>
        <c:axId val="39416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90687"/>
        <c:crosses val="autoZero"/>
        <c:auto val="1"/>
        <c:lblAlgn val="ctr"/>
        <c:lblOffset val="100"/>
        <c:noMultiLvlLbl val="0"/>
      </c:catAx>
      <c:valAx>
        <c:axId val="3912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6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Pivot_Tables!$A$30:$A$34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Pivot_Tables!$B$30:$B$34</c:f>
              <c:numCache>
                <c:formatCode>_ [$₹-4009]\ * #,##0.00_ ;_ [$₹-4009]\ * \-#,##0.00_ ;_ [$₹-4009]\ * "-"??_ ;_ @_ </c:formatCode>
                <c:ptCount val="4"/>
                <c:pt idx="0">
                  <c:v>264970</c:v>
                </c:pt>
                <c:pt idx="1">
                  <c:v>198787.5</c:v>
                </c:pt>
                <c:pt idx="2">
                  <c:v>120140</c:v>
                </c:pt>
                <c:pt idx="3">
                  <c:v>119295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2-4C48-A1C7-DD30B441A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009503"/>
        <c:axId val="392011903"/>
      </c:barChart>
      <c:catAx>
        <c:axId val="3920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11903"/>
        <c:crosses val="autoZero"/>
        <c:auto val="1"/>
        <c:lblAlgn val="ctr"/>
        <c:lblOffset val="100"/>
        <c:noMultiLvlLbl val="0"/>
      </c:catAx>
      <c:valAx>
        <c:axId val="3920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0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Pivot_Tables!$A$45:$A$50</c:f>
              <c:strCache>
                <c:ptCount val="5"/>
                <c:pt idx="0">
                  <c:v>Laptop</c:v>
                </c:pt>
                <c:pt idx="1">
                  <c:v>Headphones</c:v>
                </c:pt>
                <c:pt idx="2">
                  <c:v>Monitor</c:v>
                </c:pt>
                <c:pt idx="3">
                  <c:v>Mouse</c:v>
                </c:pt>
                <c:pt idx="4">
                  <c:v>Keyboard</c:v>
                </c:pt>
              </c:strCache>
            </c:strRef>
          </c:cat>
          <c:val>
            <c:numRef>
              <c:f>Pivot_Tables!$B$45:$B$50</c:f>
              <c:numCache>
                <c:formatCode>_ [$₹-4009]\ * #,##0.00_ ;_ [$₹-4009]\ * \-#,##0.00_ ;_ [$₹-4009]\ * "-"??_ ;_ @_ </c:formatCode>
                <c:ptCount val="5"/>
                <c:pt idx="0">
                  <c:v>476000</c:v>
                </c:pt>
                <c:pt idx="1">
                  <c:v>78300</c:v>
                </c:pt>
                <c:pt idx="2">
                  <c:v>76440</c:v>
                </c:pt>
                <c:pt idx="3">
                  <c:v>46462.5</c:v>
                </c:pt>
                <c:pt idx="4">
                  <c:v>25990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1-4171-9E6E-31009F311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016048"/>
        <c:axId val="656017968"/>
      </c:barChart>
      <c:catAx>
        <c:axId val="65601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17968"/>
        <c:crosses val="autoZero"/>
        <c:auto val="1"/>
        <c:lblAlgn val="ctr"/>
        <c:lblOffset val="100"/>
        <c:noMultiLvlLbl val="0"/>
      </c:catAx>
      <c:valAx>
        <c:axId val="65601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1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[Sales_Dashboard.xlsx]Pivot_Tables!PivotTable1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Pivot_Tables!$B$17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Pivot_Tables!$A$18:$A$20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Pivot_Tables!$B$18:$B$20</c:f>
              <c:numCache>
                <c:formatCode>_ [$₹-4009]\ * #,##0.00_ ;_ [$₹-4009]\ * \-#,##0.00_ ;_ [$₹-4009]\ * "-"??_ ;_ @_ </c:formatCode>
                <c:ptCount val="2"/>
                <c:pt idx="0">
                  <c:v>575045</c:v>
                </c:pt>
                <c:pt idx="1">
                  <c:v>128147.5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7-4052-B7E7-BC941845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509814</xdr:colOff>
      <xdr:row>4</xdr:row>
      <xdr:rowOff>152521</xdr:rowOff>
    </xdr:from>
    <xdr:to>
      <xdr:col>10</xdr:col>
      <xdr:colOff>52614</xdr:colOff>
      <xdr:row>9</xdr:row>
      <xdr:rowOff>30238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5826937-CB6D-4530-8E72-9699F265FA4E}"/>
            </a:ext>
          </a:extLst>
        </xdr:cNvPr>
        <xdr:cNvSpPr/>
      </xdr:nvSpPr>
      <xdr:spPr>
        <a:xfrm>
          <a:off x="4700814" y="1105021"/>
          <a:ext cx="3200400" cy="76671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Total</a:t>
          </a:r>
          <a:r>
            <a:rPr lang="en-US" sz="20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Quantity Sold</a:t>
          </a:r>
        </a:p>
        <a:p>
          <a:pPr algn="ctr"/>
          <a:r>
            <a:rPr lang="en-US" sz="20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198</a:t>
          </a:r>
          <a:endParaRPr lang="en-US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375558</xdr:colOff>
      <xdr:row>4</xdr:row>
      <xdr:rowOff>151674</xdr:rowOff>
    </xdr:from>
    <xdr:to>
      <xdr:col>16</xdr:col>
      <xdr:colOff>455385</xdr:colOff>
      <xdr:row>9</xdr:row>
      <xdr:rowOff>29391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37EDDB0-5CAF-494D-840C-C3D5913A0ABA}"/>
            </a:ext>
          </a:extLst>
        </xdr:cNvPr>
        <xdr:cNvSpPr/>
      </xdr:nvSpPr>
      <xdr:spPr>
        <a:xfrm>
          <a:off x="8833758" y="1104174"/>
          <a:ext cx="3127827" cy="76671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Best</a:t>
          </a:r>
          <a:r>
            <a:rPr lang="en-US" sz="20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Region</a:t>
          </a:r>
        </a:p>
        <a:p>
          <a:pPr algn="ctr"/>
          <a:r>
            <a:rPr lang="en-US" sz="20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South</a:t>
          </a:r>
        </a:p>
      </xdr:txBody>
    </xdr:sp>
    <xdr:clientData/>
  </xdr:twoCellAnchor>
  <xdr:twoCellAnchor>
    <xdr:from>
      <xdr:col>18</xdr:col>
      <xdr:colOff>315805</xdr:colOff>
      <xdr:row>4</xdr:row>
      <xdr:rowOff>129299</xdr:rowOff>
    </xdr:from>
    <xdr:to>
      <xdr:col>23</xdr:col>
      <xdr:colOff>431799</xdr:colOff>
      <xdr:row>9</xdr:row>
      <xdr:rowOff>968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3078DB6-A01A-4538-83DA-4575DC300E4A}"/>
            </a:ext>
          </a:extLst>
        </xdr:cNvPr>
        <xdr:cNvSpPr/>
      </xdr:nvSpPr>
      <xdr:spPr>
        <a:xfrm>
          <a:off x="13041205" y="1081799"/>
          <a:ext cx="3163994" cy="760669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Best</a:t>
          </a:r>
          <a:r>
            <a:rPr lang="en-US" sz="20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Product</a:t>
          </a:r>
        </a:p>
        <a:p>
          <a:pPr algn="ctr"/>
          <a:r>
            <a:rPr lang="en-US" sz="20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Laptop</a:t>
          </a:r>
        </a:p>
      </xdr:txBody>
    </xdr:sp>
    <xdr:clientData/>
  </xdr:twoCellAnchor>
  <xdr:twoCellAnchor>
    <xdr:from>
      <xdr:col>4</xdr:col>
      <xdr:colOff>0</xdr:colOff>
      <xdr:row>11</xdr:row>
      <xdr:rowOff>171450</xdr:rowOff>
    </xdr:from>
    <xdr:to>
      <xdr:col>12</xdr:col>
      <xdr:colOff>476250</xdr:colOff>
      <xdr:row>33</xdr:row>
      <xdr:rowOff>190500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004A66A-7937-DDA0-C4FD-F71FC68FF986}"/>
            </a:ext>
          </a:extLst>
        </xdr:cNvPr>
        <xdr:cNvSpPr/>
      </xdr:nvSpPr>
      <xdr:spPr>
        <a:xfrm>
          <a:off x="4191000" y="2476500"/>
          <a:ext cx="5353050" cy="5238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157842</xdr:colOff>
      <xdr:row>12</xdr:row>
      <xdr:rowOff>107405</xdr:rowOff>
    </xdr:from>
    <xdr:to>
      <xdr:col>12</xdr:col>
      <xdr:colOff>292242</xdr:colOff>
      <xdr:row>32</xdr:row>
      <xdr:rowOff>281005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1AD9FB-CC0C-8C15-0554-255C461E9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400050</xdr:colOff>
      <xdr:row>11</xdr:row>
      <xdr:rowOff>152400</xdr:rowOff>
    </xdr:from>
    <xdr:to>
      <xdr:col>24</xdr:col>
      <xdr:colOff>266700</xdr:colOff>
      <xdr:row>33</xdr:row>
      <xdr:rowOff>171450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2730C33-498A-4FEA-AEC3-E429BB512515}"/>
            </a:ext>
          </a:extLst>
        </xdr:cNvPr>
        <xdr:cNvSpPr/>
      </xdr:nvSpPr>
      <xdr:spPr>
        <a:xfrm>
          <a:off x="11296650" y="2457450"/>
          <a:ext cx="5353050" cy="5238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576943</xdr:colOff>
      <xdr:row>12</xdr:row>
      <xdr:rowOff>95069</xdr:rowOff>
    </xdr:from>
    <xdr:to>
      <xdr:col>24</xdr:col>
      <xdr:colOff>101600</xdr:colOff>
      <xdr:row>32</xdr:row>
      <xdr:rowOff>266700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FD5008B-5F88-EAC5-AD9C-04F0D2711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381000</xdr:colOff>
      <xdr:row>34</xdr:row>
      <xdr:rowOff>152400</xdr:rowOff>
    </xdr:from>
    <xdr:to>
      <xdr:col>24</xdr:col>
      <xdr:colOff>247650</xdr:colOff>
      <xdr:row>58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D961C77-7C3A-43C6-BC9E-E3308971E14F}"/>
            </a:ext>
          </a:extLst>
        </xdr:cNvPr>
        <xdr:cNvSpPr/>
      </xdr:nvSpPr>
      <xdr:spPr>
        <a:xfrm>
          <a:off x="11277600" y="7981950"/>
          <a:ext cx="5353050" cy="5238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542471</xdr:colOff>
      <xdr:row>35</xdr:row>
      <xdr:rowOff>114299</xdr:rowOff>
    </xdr:from>
    <xdr:to>
      <xdr:col>24</xdr:col>
      <xdr:colOff>67271</xdr:colOff>
      <xdr:row>57</xdr:row>
      <xdr:rowOff>46599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EC96FA-ED5F-AAF2-927D-F72104784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604005</xdr:colOff>
      <xdr:row>4</xdr:row>
      <xdr:rowOff>149225</xdr:rowOff>
    </xdr:from>
    <xdr:to>
      <xdr:col>3</xdr:col>
      <xdr:colOff>195942</xdr:colOff>
      <xdr:row>9</xdr:row>
      <xdr:rowOff>26942</xdr:rowOff>
    </xdr:to>
    <xdr:sp macro="" textlink="$AB$10">
      <xdr:nvSpPr>
        <xdr:cNvPr id="13" name="Rectangle: Rounded Corners 12">
          <a:extLst>
            <a:ext uri="{FF2B5EF4-FFF2-40B4-BE49-F238E27FC236}">
              <a16:creationId xmlns:a16="http://schemas.microsoft.com/office/drawing/2014/main" id="{D1F7804B-8712-440D-AF9E-52002E2745B3}"/>
            </a:ext>
          </a:extLst>
        </xdr:cNvPr>
        <xdr:cNvSpPr/>
      </xdr:nvSpPr>
      <xdr:spPr>
        <a:xfrm>
          <a:off x="604005" y="1101725"/>
          <a:ext cx="3173337" cy="76671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 Revenue</a:t>
          </a:r>
        </a:p>
        <a:p>
          <a:pPr algn="ctr"/>
          <a:fld id="{288DC94B-E9EA-44B0-A05C-493343188A71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₹ 7,03,192.50 </a:t>
          </a:fld>
          <a:endParaRPr lang="en-US" sz="3600" b="1" i="0" u="none" strike="noStrike" baseline="0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533400</xdr:colOff>
      <xdr:row>62</xdr:row>
      <xdr:rowOff>171450</xdr:rowOff>
    </xdr:from>
    <xdr:to>
      <xdr:col>24</xdr:col>
      <xdr:colOff>190500</xdr:colOff>
      <xdr:row>108</xdr:row>
      <xdr:rowOff>171450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1D8FB00-8E3F-4E55-97EC-69F79C904540}"/>
            </a:ext>
          </a:extLst>
        </xdr:cNvPr>
        <xdr:cNvSpPr/>
      </xdr:nvSpPr>
      <xdr:spPr>
        <a:xfrm>
          <a:off x="533400" y="14135100"/>
          <a:ext cx="16040100" cy="8763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590550</xdr:colOff>
      <xdr:row>34</xdr:row>
      <xdr:rowOff>152400</xdr:rowOff>
    </xdr:from>
    <xdr:to>
      <xdr:col>12</xdr:col>
      <xdr:colOff>457200</xdr:colOff>
      <xdr:row>58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9E63F8B-16D6-4C78-A22C-686B7EC53347}"/>
            </a:ext>
          </a:extLst>
        </xdr:cNvPr>
        <xdr:cNvSpPr/>
      </xdr:nvSpPr>
      <xdr:spPr>
        <a:xfrm>
          <a:off x="4171950" y="7981950"/>
          <a:ext cx="5353050" cy="5238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609600</xdr:colOff>
      <xdr:row>62</xdr:row>
      <xdr:rowOff>88900</xdr:rowOff>
    </xdr:from>
    <xdr:ext cx="16040100" cy="802072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2EC8D4-4B59-F417-20B1-69E0C0F3D37D}"/>
            </a:ext>
          </a:extLst>
        </xdr:cNvPr>
        <xdr:cNvSpPr txBox="1"/>
      </xdr:nvSpPr>
      <xdr:spPr>
        <a:xfrm>
          <a:off x="609600" y="14052550"/>
          <a:ext cx="16040100" cy="8020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2400" b="1"/>
        </a:p>
        <a:p>
          <a:endParaRPr lang="en-IN" sz="2400" b="1"/>
        </a:p>
        <a:p>
          <a:pPr algn="ctr"/>
          <a:r>
            <a:rPr lang="en-IN" sz="2400" b="1"/>
            <a:t>📌 Key Insights</a:t>
          </a:r>
        </a:p>
        <a:p>
          <a:endParaRPr lang="en-IN" sz="2400" b="1"/>
        </a:p>
        <a:p>
          <a:endParaRPr lang="en-IN" sz="2400" b="1"/>
        </a:p>
        <a:p>
          <a:endParaRPr lang="en-IN" sz="2400"/>
        </a:p>
        <a:p>
          <a:r>
            <a:rPr lang="en-IN" sz="2400"/>
            <a:t>Total revenue generated: ₹7,03,192.50</a:t>
          </a:r>
        </a:p>
        <a:p>
          <a:endParaRPr lang="en-IN" sz="2400"/>
        </a:p>
        <a:p>
          <a:r>
            <a:rPr lang="en-IN" sz="2400"/>
            <a:t>Total units sold: 198</a:t>
          </a:r>
        </a:p>
        <a:p>
          <a:endParaRPr lang="en-IN" sz="2400"/>
        </a:p>
        <a:p>
          <a:r>
            <a:rPr lang="en-IN" sz="2400"/>
            <a:t>South region is the top performer, contributing the highest revenue among all regions.</a:t>
          </a:r>
        </a:p>
        <a:p>
          <a:endParaRPr lang="en-IN" sz="2400"/>
        </a:p>
        <a:p>
          <a:r>
            <a:rPr lang="en-IN" sz="2400"/>
            <a:t>Laptop is the best-selling product, generating the maximum revenue compared to other categories.</a:t>
          </a:r>
        </a:p>
        <a:p>
          <a:endParaRPr lang="en-IN" sz="2400"/>
        </a:p>
        <a:p>
          <a:r>
            <a:rPr lang="en-IN" sz="2400"/>
            <a:t>Revenue dropped from January to February, indicating a decline in sales performance month-over-month.</a:t>
          </a:r>
        </a:p>
        <a:p>
          <a:endParaRPr lang="en-IN" sz="2400"/>
        </a:p>
        <a:p>
          <a:r>
            <a:rPr lang="en-IN" sz="2400"/>
            <a:t>Laptop and Monitor contributed the majority of revenue, making them the most impactful product categories.</a:t>
          </a:r>
        </a:p>
        <a:p>
          <a:endParaRPr lang="en-IN" sz="2400"/>
        </a:p>
        <a:p>
          <a:r>
            <a:rPr lang="en-IN" sz="2400"/>
            <a:t>North region is the second-best performing region, while East and West show comparatively lower sales.</a:t>
          </a:r>
        </a:p>
        <a:p>
          <a:endParaRPr lang="en-IN" sz="2400"/>
        </a:p>
        <a:p>
          <a:r>
            <a:rPr lang="en-IN" sz="2400"/>
            <a:t>Product categories like Keyboard and Mouse have minimal contribution and may need promotional focus</a:t>
          </a:r>
          <a:r>
            <a:rPr lang="en-IN" sz="1100"/>
            <a:t>.</a:t>
          </a:r>
        </a:p>
      </xdr:txBody>
    </xdr:sp>
    <xdr:clientData/>
  </xdr:oneCellAnchor>
  <xdr:twoCellAnchor>
    <xdr:from>
      <xdr:col>4</xdr:col>
      <xdr:colOff>142874</xdr:colOff>
      <xdr:row>35</xdr:row>
      <xdr:rowOff>133350</xdr:rowOff>
    </xdr:from>
    <xdr:to>
      <xdr:col>12</xdr:col>
      <xdr:colOff>277274</xdr:colOff>
      <xdr:row>57</xdr:row>
      <xdr:rowOff>67050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CB86560-510C-3A35-DDB5-D5F660916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ik gupta" refreshedDate="45978.768905555553" createdVersion="8" refreshedVersion="8" minRefreshableVersion="3" recordCount="20" xr:uid="{9B664084-C13B-4565-9F2B-E6968CA7938C}">
  <cacheSource type="worksheet">
    <worksheetSource name="Sales_Performance_Data__25"/>
  </cacheSource>
  <cacheFields count="11">
    <cacheField name="OrderID" numFmtId="0">
      <sharedItems containsSemiMixedTypes="0" containsString="0" containsNumber="1" containsInteger="1" minValue="1001" maxValue="1020"/>
    </cacheField>
    <cacheField name="Date" numFmtId="14">
      <sharedItems containsSemiMixedTypes="0" containsNonDate="0" containsDate="1" containsString="0" minDate="2024-01-05T00:00:00" maxDate="2024-02-11T00:00:00" count="20">
        <d v="2024-01-05T00:00:00"/>
        <d v="2024-01-07T00:00:00"/>
        <d v="2024-01-09T00:00:00"/>
        <d v="2024-01-11T00:00:00"/>
        <d v="2024-01-15T00:00:00"/>
        <d v="2024-01-16T00:00:00"/>
        <d v="2024-01-18T00:00:00"/>
        <d v="2024-01-20T00:00:00"/>
        <d v="2024-01-21T00:00:00"/>
        <d v="2024-01-22T00:00:00"/>
        <d v="2024-01-25T00:00:00"/>
        <d v="2024-01-26T00:00:00"/>
        <d v="2024-01-28T00:00:00"/>
        <d v="2024-01-30T00:00:00"/>
        <d v="2024-02-01T00:00:00"/>
        <d v="2024-02-03T00:00:00"/>
        <d v="2024-02-05T00:00:00"/>
        <d v="2024-02-07T00:00:00"/>
        <d v="2024-02-08T00:00:00"/>
        <d v="2024-02-10T00:00:00"/>
      </sharedItems>
    </cacheField>
    <cacheField name="Region" numFmtId="0">
      <sharedItems count="4">
        <s v="North"/>
        <s v="South"/>
        <s v="West"/>
        <s v="East"/>
      </sharedItems>
    </cacheField>
    <cacheField name="Salesperson" numFmtId="0">
      <sharedItems/>
    </cacheField>
    <cacheField name="Product" numFmtId="0">
      <sharedItems count="5">
        <s v="Laptop"/>
        <s v="Mouse"/>
        <s v="Keyboard"/>
        <s v="Monitor"/>
        <s v="Headphones"/>
      </sharedItems>
    </cacheField>
    <cacheField name="Quantity" numFmtId="0">
      <sharedItems containsSemiMixedTypes="0" containsString="0" containsNumber="1" containsInteger="1" minValue="1" maxValue="40"/>
    </cacheField>
    <cacheField name="Unit Price" numFmtId="164">
      <sharedItems containsSemiMixedTypes="0" containsString="0" containsNumber="1" containsInteger="1" minValue="450" maxValue="56000"/>
    </cacheField>
    <cacheField name="Discount" numFmtId="9">
      <sharedItems containsSemiMixedTypes="0" containsString="0" containsNumber="1" minValue="0" maxValue="0.1"/>
    </cacheField>
    <cacheField name="Revenue" numFmtId="164">
      <sharedItems containsSemiMixedTypes="0" containsString="0" containsNumber="1" minValue="6750" maxValue="151200"/>
    </cacheField>
    <cacheField name="Month" numFmtId="0">
      <sharedItems count="2">
        <s v="Jan"/>
        <s v="Feb"/>
      </sharedItems>
    </cacheField>
    <cacheField name="Year" numFmtId="0">
      <sharedItems containsSemiMixedTypes="0" containsString="0" containsNumber="1" containsInteger="1" minValue="2024" maxValue="2024" count="1">
        <n v="2024"/>
      </sharedItems>
    </cacheField>
  </cacheFields>
  <extLst>
    <ext xmlns:x14="http://schemas.microsoft.com/office/spreadsheetml/2009/9/main" uri="{725AE2AE-9491-48be-B2B4-4EB974FC3084}">
      <x14:pivotCacheDefinition pivotCacheId="15245554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s v="Riya Sharma"/>
    <x v="0"/>
    <n v="2"/>
    <n v="56000"/>
    <n v="0.05"/>
    <n v="106400"/>
    <x v="0"/>
    <x v="0"/>
  </r>
  <r>
    <n v="1002"/>
    <x v="1"/>
    <x v="1"/>
    <s v="Arjun Patel"/>
    <x v="1"/>
    <n v="15"/>
    <n v="450"/>
    <n v="0"/>
    <n v="6750"/>
    <x v="0"/>
    <x v="0"/>
  </r>
  <r>
    <n v="1003"/>
    <x v="2"/>
    <x v="2"/>
    <s v="Karan Mehta"/>
    <x v="2"/>
    <n v="10"/>
    <n v="1150"/>
    <n v="0.1"/>
    <n v="10350"/>
    <x v="0"/>
    <x v="0"/>
  </r>
  <r>
    <n v="1004"/>
    <x v="3"/>
    <x v="3"/>
    <s v="Pooja Rao"/>
    <x v="3"/>
    <n v="3"/>
    <n v="9800"/>
    <n v="0"/>
    <n v="29400"/>
    <x v="0"/>
    <x v="0"/>
  </r>
  <r>
    <n v="1005"/>
    <x v="4"/>
    <x v="0"/>
    <s v="Riya Sharma"/>
    <x v="0"/>
    <n v="1"/>
    <n v="56000"/>
    <n v="0.05"/>
    <n v="53200"/>
    <x v="0"/>
    <x v="0"/>
  </r>
  <r>
    <n v="1006"/>
    <x v="5"/>
    <x v="1"/>
    <s v="Arjun Patel"/>
    <x v="4"/>
    <n v="20"/>
    <n v="1800"/>
    <n v="0.1"/>
    <n v="32400"/>
    <x v="0"/>
    <x v="0"/>
  </r>
  <r>
    <n v="1007"/>
    <x v="6"/>
    <x v="2"/>
    <s v="Karan Mehta"/>
    <x v="1"/>
    <n v="30"/>
    <n v="450"/>
    <n v="0.05"/>
    <n v="12825"/>
    <x v="0"/>
    <x v="0"/>
  </r>
  <r>
    <n v="1008"/>
    <x v="7"/>
    <x v="3"/>
    <s v="Pooja Rao"/>
    <x v="0"/>
    <n v="1"/>
    <n v="56000"/>
    <n v="0"/>
    <n v="56000"/>
    <x v="0"/>
    <x v="0"/>
  </r>
  <r>
    <n v="1009"/>
    <x v="8"/>
    <x v="0"/>
    <s v="Riya Sharma"/>
    <x v="2"/>
    <n v="6"/>
    <n v="1150"/>
    <n v="0"/>
    <n v="6900"/>
    <x v="0"/>
    <x v="0"/>
  </r>
  <r>
    <n v="1010"/>
    <x v="9"/>
    <x v="1"/>
    <s v="Arjun Patel"/>
    <x v="3"/>
    <n v="2"/>
    <n v="9800"/>
    <n v="0.05"/>
    <n v="18620"/>
    <x v="0"/>
    <x v="0"/>
  </r>
  <r>
    <n v="1011"/>
    <x v="10"/>
    <x v="2"/>
    <s v="Karan Mehta"/>
    <x v="0"/>
    <n v="1"/>
    <n v="56000"/>
    <n v="0.05"/>
    <n v="53200"/>
    <x v="0"/>
    <x v="0"/>
  </r>
  <r>
    <n v="1012"/>
    <x v="11"/>
    <x v="3"/>
    <s v="Pooja Rao"/>
    <x v="1"/>
    <n v="40"/>
    <n v="450"/>
    <n v="0.1"/>
    <n v="16200"/>
    <x v="0"/>
    <x v="0"/>
  </r>
  <r>
    <n v="1013"/>
    <x v="12"/>
    <x v="0"/>
    <s v="Riya Sharma"/>
    <x v="4"/>
    <n v="12"/>
    <n v="1800"/>
    <n v="0"/>
    <n v="21600"/>
    <x v="0"/>
    <x v="0"/>
  </r>
  <r>
    <n v="1014"/>
    <x v="13"/>
    <x v="1"/>
    <s v="Arjun Patel"/>
    <x v="0"/>
    <n v="3"/>
    <n v="56000"/>
    <n v="0.1"/>
    <n v="151200"/>
    <x v="0"/>
    <x v="0"/>
  </r>
  <r>
    <n v="1015"/>
    <x v="14"/>
    <x v="2"/>
    <s v="Karan Mehta"/>
    <x v="3"/>
    <n v="2"/>
    <n v="9800"/>
    <n v="0.05"/>
    <n v="18620"/>
    <x v="1"/>
    <x v="0"/>
  </r>
  <r>
    <n v="1016"/>
    <x v="15"/>
    <x v="3"/>
    <s v="Pooja Rao"/>
    <x v="2"/>
    <n v="8"/>
    <n v="1150"/>
    <n v="0.05"/>
    <n v="8740"/>
    <x v="1"/>
    <x v="0"/>
  </r>
  <r>
    <n v="1017"/>
    <x v="16"/>
    <x v="0"/>
    <s v="Riya Sharma"/>
    <x v="1"/>
    <n v="25"/>
    <n v="450"/>
    <n v="0.05"/>
    <n v="10687.5"/>
    <x v="1"/>
    <x v="0"/>
  </r>
  <r>
    <n v="1018"/>
    <x v="17"/>
    <x v="1"/>
    <s v="Arjun Patel"/>
    <x v="0"/>
    <n v="1"/>
    <n v="56000"/>
    <n v="0"/>
    <n v="56000"/>
    <x v="1"/>
    <x v="0"/>
  </r>
  <r>
    <n v="1019"/>
    <x v="18"/>
    <x v="2"/>
    <s v="Karan Mehta"/>
    <x v="4"/>
    <n v="15"/>
    <n v="1800"/>
    <n v="0.1"/>
    <n v="24300"/>
    <x v="1"/>
    <x v="0"/>
  </r>
  <r>
    <n v="1020"/>
    <x v="19"/>
    <x v="3"/>
    <s v="Pooja Rao"/>
    <x v="3"/>
    <n v="1"/>
    <n v="9800"/>
    <n v="0"/>
    <n v="980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97EB3-1304-4C9F-AE54-0B1A6534CC8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44:B50" firstHeaderRow="1" firstDataRow="1" firstDataCol="1"/>
  <pivotFields count="11">
    <pivotField showAll="0" defaultSubtotal="0"/>
    <pivotField numFmtId="14" showAll="0" defaultSubtotal="0"/>
    <pivotField showAll="0" defaultSubtotal="0">
      <items count="4">
        <item x="3"/>
        <item x="0"/>
        <item x="1"/>
        <item x="2"/>
      </items>
    </pivotField>
    <pivotField showAll="0" defaultSubtotal="0"/>
    <pivotField axis="axisRow" showAll="0" sortType="descending" defaultSubtotal="0">
      <items count="5">
        <item x="4"/>
        <item x="2"/>
        <item x="0"/>
        <item x="3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numFmtId="164" showAll="0" defaultSubtotal="0"/>
    <pivotField numFmtId="9" showAll="0" defaultSubtotal="0"/>
    <pivotField dataField="1" numFmtId="164" showAll="0" defaultSubtotal="0"/>
    <pivotField showAll="0" defaultSubtotal="0">
      <items count="2">
        <item x="0"/>
        <item x="1"/>
      </items>
    </pivotField>
    <pivotField showAll="0" defaultSubtotal="0"/>
  </pivotFields>
  <rowFields count="1">
    <field x="4"/>
  </rowFields>
  <rowItems count="6">
    <i>
      <x v="2"/>
    </i>
    <i>
      <x/>
    </i>
    <i>
      <x v="3"/>
    </i>
    <i>
      <x v="4"/>
    </i>
    <i>
      <x v="1"/>
    </i>
    <i t="grand">
      <x/>
    </i>
  </rowItems>
  <colItems count="1">
    <i/>
  </colItems>
  <dataFields count="1">
    <dataField name="Sum of Revenue" fld="8" baseField="0" baseItem="0" numFmtId="164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19AC9-8A33-4AE5-A5A7-AFDC7EF24BF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29:B34" firstHeaderRow="1" firstDataRow="1" firstDataCol="1"/>
  <pivotFields count="11">
    <pivotField showAll="0" defaultSubtotal="0"/>
    <pivotField numFmtId="14" showAll="0" defaultSubtotal="0"/>
    <pivotField axis="axisRow" showAll="0" sortType="descending" defaultSubtotal="0">
      <items count="4">
        <item x="3"/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numFmtId="164" showAll="0" defaultSubtotal="0"/>
    <pivotField numFmtId="9" showAll="0" defaultSubtotal="0"/>
    <pivotField dataField="1" numFmtId="164" showAll="0" defaultSubtotal="0"/>
    <pivotField showAll="0" defaultSubtotal="0">
      <items count="2">
        <item x="0"/>
        <item x="1"/>
      </items>
    </pivotField>
    <pivotField showAll="0" defaultSubtotal="0"/>
  </pivotFields>
  <rowFields count="1">
    <field x="2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Revenue" fld="8" baseField="0" baseItem="0" numFmtId="164"/>
  </dataFields>
  <formats count="6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AD522-8A05-4722-B022-540B110193A2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 rowHeaderCaption="Month">
  <location ref="A17:B20" firstHeaderRow="1" firstDataRow="1" firstDataCol="1"/>
  <pivotFields count="11">
    <pivotField showAll="0" defaultSubtotal="0"/>
    <pivotField numFmtId="14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numFmtId="164" showAll="0" defaultSubtotal="0"/>
    <pivotField numFmtId="9" showAll="0" defaultSubtotal="0"/>
    <pivotField dataField="1" numFmtId="164" showAll="0" defaultSubtotal="0"/>
    <pivotField axis="axisRow" showAll="0" defaultSubtotal="0">
      <items count="2">
        <item x="0"/>
        <item x="1"/>
      </items>
    </pivotField>
    <pivotField showAll="0" defaultSubtota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Revenue" fld="8" baseField="0" baseItem="0" numFmtId="164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9" type="button" dataOnly="0" labelOnly="1" outline="0" axis="axisRow" fieldPosition="0"/>
    </format>
    <format dxfId="9">
      <pivotArea dataOnly="0" labelOnly="1" fieldPosition="0">
        <references count="1">
          <reference field="9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2" name="Date">
      <autoFilter ref="A1">
        <filterColumn colId="0">
          <customFilters and="1">
            <customFilter operator="greaterThanOrEqual" val="45292"/>
            <customFilter operator="lessThanOrEqual" val="4535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E1855D3-7E0D-4366-BE47-0AA9910B402E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Date" tableColumnId="2"/>
      <queryTableField id="3" name="Region" tableColumnId="3"/>
      <queryTableField id="4" name="Salesperson" tableColumnId="4"/>
      <queryTableField id="5" name="Product" tableColumnId="5"/>
      <queryTableField id="6" name="Quantity" tableColumnId="6"/>
      <queryTableField id="7" name="Unit Price" tableColumnId="7"/>
      <queryTableField id="8" name="Discount" tableColumnId="8"/>
      <queryTableField id="9" name="Revenu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E7FBCF3-5697-4EC4-BA41-AAD257E67F82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OrderID" tableColumnId="1"/>
      <queryTableField id="2" name="Date" tableColumnId="2"/>
      <queryTableField id="3" name="Region" tableColumnId="3"/>
      <queryTableField id="4" name="Salesperson" tableColumnId="4"/>
      <queryTableField id="5" name="Product" tableColumnId="5"/>
      <queryTableField id="6" name="Quantity" tableColumnId="6"/>
      <queryTableField id="7" name="Unit Price" tableColumnId="7"/>
      <queryTableField id="8" name="Discount" tableColumnId="8"/>
      <queryTableField id="9" name="Revenue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CC984-6FB6-4277-82AF-9B9B936505D4}" name="Sales_Performance_Data__2" displayName="Sales_Performance_Data__2" ref="A1:I21" tableType="queryTable" totalsRowShown="0">
  <tableColumns count="9">
    <tableColumn id="1" xr3:uid="{2A29A682-7946-4726-A7AA-22CE430D132A}" uniqueName="1" name="OrderID" queryTableFieldId="1"/>
    <tableColumn id="2" xr3:uid="{B4D07E5D-C859-45F2-8D3B-6BBE03439084}" uniqueName="2" name="Date" queryTableFieldId="2" dataDxfId="49"/>
    <tableColumn id="3" xr3:uid="{91B1B497-FD30-4FB4-9EA2-D3D3FD0E4BA7}" uniqueName="3" name="Region" queryTableFieldId="3" dataDxfId="48"/>
    <tableColumn id="4" xr3:uid="{8ACEBF04-AD97-4730-8D73-BE300564A4A1}" uniqueName="4" name="Salesperson" queryTableFieldId="4" dataDxfId="47"/>
    <tableColumn id="5" xr3:uid="{481FF367-22E6-4CCE-8693-721AE939F2A5}" uniqueName="5" name="Product" queryTableFieldId="5" dataDxfId="46"/>
    <tableColumn id="6" xr3:uid="{C3846D53-E248-42F6-B930-47970A3CC442}" uniqueName="6" name="Quantity" queryTableFieldId="6"/>
    <tableColumn id="7" xr3:uid="{F04775F7-6089-4ABC-9FA6-8682FB13A24A}" uniqueName="7" name="Unit Price" queryTableFieldId="7"/>
    <tableColumn id="8" xr3:uid="{4A448053-5665-4FA9-B3A4-807CDC6A8D40}" uniqueName="8" name="Discount" queryTableFieldId="8"/>
    <tableColumn id="9" xr3:uid="{0358F0B7-6818-4159-9F56-B24C0A45EDA8}" uniqueName="9" name="Revenue" queryTableField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D74107-AD58-419B-A39D-B55E4B859DBB}" name="Sales_Performance_Data__25" displayName="Sales_Performance_Data__25" ref="A1:K21" tableType="queryTable" totalsRowShown="0" headerRowDxfId="45" headerRowBorderDxfId="44" tableBorderDxfId="43" totalsRowBorderDxfId="42">
  <tableColumns count="11">
    <tableColumn id="1" xr3:uid="{1E27C834-650A-4D13-B1C5-67A72318B2E6}" uniqueName="1" name="OrderID" queryTableFieldId="1" dataDxfId="41"/>
    <tableColumn id="2" xr3:uid="{389EBBFB-0C7C-47EB-8ECC-4D73E55C9F13}" uniqueName="2" name="Date" queryTableFieldId="2" dataDxfId="40"/>
    <tableColumn id="3" xr3:uid="{43E0E3FA-F8E8-4A74-AC0D-E8231F93F16B}" uniqueName="3" name="Region" queryTableFieldId="3" dataDxfId="39"/>
    <tableColumn id="4" xr3:uid="{1F0461D3-FF3A-4D4C-923A-971D7890B55C}" uniqueName="4" name="Salesperson" queryTableFieldId="4" dataDxfId="38"/>
    <tableColumn id="5" xr3:uid="{A54F39CF-D9BA-456A-9F12-17D073FA9EF1}" uniqueName="5" name="Product" queryTableFieldId="5" dataDxfId="37"/>
    <tableColumn id="6" xr3:uid="{E23D6CC4-6957-4580-965E-AFAFF25A05CF}" uniqueName="6" name="Quantity" queryTableFieldId="6" dataDxfId="36"/>
    <tableColumn id="7" xr3:uid="{FAEB43E2-A28F-47E8-AC97-466D7BDE5A48}" uniqueName="7" name="Unit Price" queryTableFieldId="7" dataDxfId="35"/>
    <tableColumn id="8" xr3:uid="{D26768BF-000C-4B37-BC1D-C7DDFF77176D}" uniqueName="8" name="Discount" queryTableFieldId="8" dataDxfId="34" dataCellStyle="Percent"/>
    <tableColumn id="9" xr3:uid="{7937C2EE-C808-496C-972A-9F1FE3BCE0DC}" uniqueName="9" name="Revenue" queryTableFieldId="9" dataDxfId="33"/>
    <tableColumn id="10" xr3:uid="{150784F0-445B-48D6-BB4A-6DAB8E889A36}" uniqueName="10" name="Month" queryTableFieldId="10" dataDxfId="32">
      <calculatedColumnFormula>TEXT(Sales_Performance_Data__25[[#This Row],[Date]],"mmm")</calculatedColumnFormula>
    </tableColumn>
    <tableColumn id="11" xr3:uid="{0077B8C2-7F8F-4AC1-B70C-03EA8D5D1AE5}" uniqueName="11" name="Year" queryTableFieldId="11" dataDxfId="31">
      <calculatedColumnFormula>YEAR(Sales_Performance_Data__25[[#This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543B-B51E-404C-ADD2-D084CEB2DE21}">
  <dimension ref="A1:I21"/>
  <sheetViews>
    <sheetView tabSelected="1" workbookViewId="0">
      <selection activeCell="I11" sqref="I11"/>
    </sheetView>
  </sheetViews>
  <sheetFormatPr defaultRowHeight="14.4" x14ac:dyDescent="0.3"/>
  <cols>
    <col min="1" max="1" width="9.77734375" bestFit="1" customWidth="1"/>
    <col min="2" max="2" width="10.33203125" bestFit="1" customWidth="1"/>
    <col min="3" max="3" width="9" bestFit="1" customWidth="1"/>
    <col min="4" max="4" width="13.21875" bestFit="1" customWidth="1"/>
    <col min="5" max="5" width="11.109375" bestFit="1" customWidth="1"/>
    <col min="6" max="6" width="10.5546875" bestFit="1" customWidth="1"/>
    <col min="7" max="7" width="11.33203125" bestFit="1" customWidth="1"/>
    <col min="8" max="9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45296</v>
      </c>
      <c r="C2" t="s">
        <v>9</v>
      </c>
      <c r="D2" t="s">
        <v>10</v>
      </c>
      <c r="E2" t="s">
        <v>11</v>
      </c>
      <c r="F2">
        <v>2</v>
      </c>
      <c r="G2">
        <v>56000</v>
      </c>
      <c r="H2">
        <v>0.05</v>
      </c>
      <c r="I2">
        <v>106400</v>
      </c>
    </row>
    <row r="3" spans="1:9" x14ac:dyDescent="0.3">
      <c r="A3">
        <v>1002</v>
      </c>
      <c r="B3" s="1">
        <v>45298</v>
      </c>
      <c r="C3" t="s">
        <v>12</v>
      </c>
      <c r="D3" t="s">
        <v>13</v>
      </c>
      <c r="E3" t="s">
        <v>14</v>
      </c>
      <c r="F3">
        <v>15</v>
      </c>
      <c r="G3">
        <v>450</v>
      </c>
      <c r="H3">
        <v>0</v>
      </c>
      <c r="I3">
        <v>6750</v>
      </c>
    </row>
    <row r="4" spans="1:9" x14ac:dyDescent="0.3">
      <c r="A4">
        <v>1003</v>
      </c>
      <c r="B4" s="1">
        <v>45300</v>
      </c>
      <c r="C4" t="s">
        <v>15</v>
      </c>
      <c r="D4" t="s">
        <v>16</v>
      </c>
      <c r="E4" t="s">
        <v>17</v>
      </c>
      <c r="F4">
        <v>10</v>
      </c>
      <c r="G4">
        <v>1150</v>
      </c>
      <c r="H4">
        <v>0.1</v>
      </c>
      <c r="I4">
        <v>10350</v>
      </c>
    </row>
    <row r="5" spans="1:9" x14ac:dyDescent="0.3">
      <c r="A5">
        <v>1004</v>
      </c>
      <c r="B5" s="1">
        <v>45302</v>
      </c>
      <c r="C5" t="s">
        <v>18</v>
      </c>
      <c r="D5" t="s">
        <v>19</v>
      </c>
      <c r="E5" t="s">
        <v>20</v>
      </c>
      <c r="F5">
        <v>3</v>
      </c>
      <c r="G5">
        <v>9800</v>
      </c>
      <c r="H5">
        <v>0</v>
      </c>
      <c r="I5">
        <v>29400</v>
      </c>
    </row>
    <row r="6" spans="1:9" x14ac:dyDescent="0.3">
      <c r="A6">
        <v>1005</v>
      </c>
      <c r="B6" s="1">
        <v>45306</v>
      </c>
      <c r="C6" t="s">
        <v>9</v>
      </c>
      <c r="D6" t="s">
        <v>10</v>
      </c>
      <c r="E6" t="s">
        <v>11</v>
      </c>
      <c r="F6">
        <v>1</v>
      </c>
      <c r="G6">
        <v>56000</v>
      </c>
      <c r="H6">
        <v>0.05</v>
      </c>
      <c r="I6">
        <v>53200</v>
      </c>
    </row>
    <row r="7" spans="1:9" x14ac:dyDescent="0.3">
      <c r="A7">
        <v>1006</v>
      </c>
      <c r="B7" s="1">
        <v>45307</v>
      </c>
      <c r="C7" t="s">
        <v>12</v>
      </c>
      <c r="D7" t="s">
        <v>13</v>
      </c>
      <c r="E7" t="s">
        <v>21</v>
      </c>
      <c r="F7">
        <v>20</v>
      </c>
      <c r="G7">
        <v>1800</v>
      </c>
      <c r="H7">
        <v>0.1</v>
      </c>
      <c r="I7">
        <v>32400</v>
      </c>
    </row>
    <row r="8" spans="1:9" x14ac:dyDescent="0.3">
      <c r="A8">
        <v>1007</v>
      </c>
      <c r="B8" s="1">
        <v>45309</v>
      </c>
      <c r="C8" t="s">
        <v>15</v>
      </c>
      <c r="D8" t="s">
        <v>16</v>
      </c>
      <c r="E8" t="s">
        <v>14</v>
      </c>
      <c r="F8">
        <v>30</v>
      </c>
      <c r="G8">
        <v>450</v>
      </c>
      <c r="H8">
        <v>0.05</v>
      </c>
      <c r="I8">
        <v>12825</v>
      </c>
    </row>
    <row r="9" spans="1:9" x14ac:dyDescent="0.3">
      <c r="A9">
        <v>1008</v>
      </c>
      <c r="B9" s="1">
        <v>45311</v>
      </c>
      <c r="C9" t="s">
        <v>18</v>
      </c>
      <c r="D9" t="s">
        <v>19</v>
      </c>
      <c r="E9" t="s">
        <v>11</v>
      </c>
      <c r="F9">
        <v>1</v>
      </c>
      <c r="G9">
        <v>56000</v>
      </c>
      <c r="H9">
        <v>0</v>
      </c>
      <c r="I9">
        <v>56000</v>
      </c>
    </row>
    <row r="10" spans="1:9" x14ac:dyDescent="0.3">
      <c r="A10">
        <v>1009</v>
      </c>
      <c r="B10" s="1">
        <v>45312</v>
      </c>
      <c r="C10" t="s">
        <v>9</v>
      </c>
      <c r="D10" t="s">
        <v>10</v>
      </c>
      <c r="E10" t="s">
        <v>17</v>
      </c>
      <c r="F10">
        <v>6</v>
      </c>
      <c r="G10">
        <v>1150</v>
      </c>
      <c r="H10">
        <v>0</v>
      </c>
      <c r="I10">
        <v>6900</v>
      </c>
    </row>
    <row r="11" spans="1:9" x14ac:dyDescent="0.3">
      <c r="A11">
        <v>1010</v>
      </c>
      <c r="B11" s="1">
        <v>45313</v>
      </c>
      <c r="C11" t="s">
        <v>12</v>
      </c>
      <c r="D11" t="s">
        <v>13</v>
      </c>
      <c r="E11" t="s">
        <v>20</v>
      </c>
      <c r="F11">
        <v>2</v>
      </c>
      <c r="G11">
        <v>9800</v>
      </c>
      <c r="H11">
        <v>0.05</v>
      </c>
      <c r="I11">
        <v>18620</v>
      </c>
    </row>
    <row r="12" spans="1:9" x14ac:dyDescent="0.3">
      <c r="A12">
        <v>1011</v>
      </c>
      <c r="B12" s="1">
        <v>45316</v>
      </c>
      <c r="C12" t="s">
        <v>15</v>
      </c>
      <c r="D12" t="s">
        <v>16</v>
      </c>
      <c r="E12" t="s">
        <v>11</v>
      </c>
      <c r="F12">
        <v>1</v>
      </c>
      <c r="G12">
        <v>56000</v>
      </c>
      <c r="H12">
        <v>0.05</v>
      </c>
      <c r="I12">
        <v>53200</v>
      </c>
    </row>
    <row r="13" spans="1:9" x14ac:dyDescent="0.3">
      <c r="A13">
        <v>1012</v>
      </c>
      <c r="B13" s="1">
        <v>45317</v>
      </c>
      <c r="C13" t="s">
        <v>18</v>
      </c>
      <c r="D13" t="s">
        <v>19</v>
      </c>
      <c r="E13" t="s">
        <v>14</v>
      </c>
      <c r="F13">
        <v>40</v>
      </c>
      <c r="G13">
        <v>450</v>
      </c>
      <c r="H13">
        <v>0.1</v>
      </c>
      <c r="I13">
        <v>16200</v>
      </c>
    </row>
    <row r="14" spans="1:9" x14ac:dyDescent="0.3">
      <c r="A14">
        <v>1013</v>
      </c>
      <c r="B14" s="1">
        <v>45319</v>
      </c>
      <c r="C14" t="s">
        <v>9</v>
      </c>
      <c r="D14" t="s">
        <v>10</v>
      </c>
      <c r="E14" t="s">
        <v>21</v>
      </c>
      <c r="F14">
        <v>12</v>
      </c>
      <c r="G14">
        <v>1800</v>
      </c>
      <c r="H14">
        <v>0</v>
      </c>
      <c r="I14">
        <v>21600</v>
      </c>
    </row>
    <row r="15" spans="1:9" x14ac:dyDescent="0.3">
      <c r="A15">
        <v>1014</v>
      </c>
      <c r="B15" s="1">
        <v>45321</v>
      </c>
      <c r="C15" t="s">
        <v>12</v>
      </c>
      <c r="D15" t="s">
        <v>13</v>
      </c>
      <c r="E15" t="s">
        <v>11</v>
      </c>
      <c r="F15">
        <v>3</v>
      </c>
      <c r="G15">
        <v>56000</v>
      </c>
      <c r="H15">
        <v>0.1</v>
      </c>
      <c r="I15">
        <v>151200</v>
      </c>
    </row>
    <row r="16" spans="1:9" x14ac:dyDescent="0.3">
      <c r="A16">
        <v>1015</v>
      </c>
      <c r="B16" s="1">
        <v>45323</v>
      </c>
      <c r="C16" t="s">
        <v>15</v>
      </c>
      <c r="D16" t="s">
        <v>16</v>
      </c>
      <c r="E16" t="s">
        <v>20</v>
      </c>
      <c r="F16">
        <v>2</v>
      </c>
      <c r="G16">
        <v>9800</v>
      </c>
      <c r="H16">
        <v>0.05</v>
      </c>
      <c r="I16">
        <v>18620</v>
      </c>
    </row>
    <row r="17" spans="1:9" x14ac:dyDescent="0.3">
      <c r="A17">
        <v>1016</v>
      </c>
      <c r="B17" s="1">
        <v>45325</v>
      </c>
      <c r="C17" t="s">
        <v>18</v>
      </c>
      <c r="D17" t="s">
        <v>19</v>
      </c>
      <c r="E17" t="s">
        <v>17</v>
      </c>
      <c r="F17">
        <v>8</v>
      </c>
      <c r="G17">
        <v>1150</v>
      </c>
      <c r="H17">
        <v>0.05</v>
      </c>
      <c r="I17">
        <v>8740</v>
      </c>
    </row>
    <row r="18" spans="1:9" x14ac:dyDescent="0.3">
      <c r="A18">
        <v>1017</v>
      </c>
      <c r="B18" s="1">
        <v>45327</v>
      </c>
      <c r="C18" t="s">
        <v>9</v>
      </c>
      <c r="D18" t="s">
        <v>10</v>
      </c>
      <c r="E18" t="s">
        <v>14</v>
      </c>
      <c r="F18">
        <v>25</v>
      </c>
      <c r="G18">
        <v>450</v>
      </c>
      <c r="H18">
        <v>0.05</v>
      </c>
      <c r="I18">
        <v>10687.5</v>
      </c>
    </row>
    <row r="19" spans="1:9" x14ac:dyDescent="0.3">
      <c r="A19">
        <v>1018</v>
      </c>
      <c r="B19" s="1">
        <v>45329</v>
      </c>
      <c r="C19" t="s">
        <v>12</v>
      </c>
      <c r="D19" t="s">
        <v>13</v>
      </c>
      <c r="E19" t="s">
        <v>11</v>
      </c>
      <c r="F19">
        <v>1</v>
      </c>
      <c r="G19">
        <v>56000</v>
      </c>
      <c r="H19">
        <v>0</v>
      </c>
      <c r="I19">
        <v>56000</v>
      </c>
    </row>
    <row r="20" spans="1:9" x14ac:dyDescent="0.3">
      <c r="A20">
        <v>1019</v>
      </c>
      <c r="B20" s="1">
        <v>45330</v>
      </c>
      <c r="C20" t="s">
        <v>15</v>
      </c>
      <c r="D20" t="s">
        <v>16</v>
      </c>
      <c r="E20" t="s">
        <v>21</v>
      </c>
      <c r="F20">
        <v>15</v>
      </c>
      <c r="G20">
        <v>1800</v>
      </c>
      <c r="H20">
        <v>0.1</v>
      </c>
      <c r="I20">
        <v>24300</v>
      </c>
    </row>
    <row r="21" spans="1:9" x14ac:dyDescent="0.3">
      <c r="A21">
        <v>1020</v>
      </c>
      <c r="B21" s="1">
        <v>45332</v>
      </c>
      <c r="C21" t="s">
        <v>18</v>
      </c>
      <c r="D21" t="s">
        <v>19</v>
      </c>
      <c r="E21" t="s">
        <v>20</v>
      </c>
      <c r="F21">
        <v>1</v>
      </c>
      <c r="G21">
        <v>9800</v>
      </c>
      <c r="H21">
        <v>0</v>
      </c>
      <c r="I21">
        <v>9800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FECC-BD29-4B3A-A41B-F02C7621907B}">
  <dimension ref="A1:K21"/>
  <sheetViews>
    <sheetView zoomScale="110" zoomScaleNormal="110" workbookViewId="0">
      <selection activeCell="P13" sqref="P13"/>
    </sheetView>
  </sheetViews>
  <sheetFormatPr defaultRowHeight="14.4" x14ac:dyDescent="0.3"/>
  <cols>
    <col min="1" max="3" width="13.5546875" customWidth="1"/>
    <col min="4" max="4" width="14.109375" bestFit="1" customWidth="1"/>
    <col min="5" max="9" width="13.5546875" customWidth="1"/>
  </cols>
  <sheetData>
    <row r="1" spans="1:11" ht="18.600000000000001" thickBot="1" x14ac:dyDescent="0.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22</v>
      </c>
      <c r="K1" s="22" t="s">
        <v>23</v>
      </c>
    </row>
    <row r="2" spans="1:11" ht="15" thickTop="1" x14ac:dyDescent="0.3">
      <c r="A2" s="15">
        <v>1001</v>
      </c>
      <c r="B2" s="16">
        <v>45296</v>
      </c>
      <c r="C2" s="17" t="s">
        <v>9</v>
      </c>
      <c r="D2" s="17" t="s">
        <v>10</v>
      </c>
      <c r="E2" s="17" t="s">
        <v>11</v>
      </c>
      <c r="F2" s="17">
        <v>2</v>
      </c>
      <c r="G2" s="18">
        <v>56000</v>
      </c>
      <c r="H2" s="19">
        <v>0.05</v>
      </c>
      <c r="I2" s="18">
        <v>106400</v>
      </c>
      <c r="J2" s="17" t="str">
        <f>TEXT(Sales_Performance_Data__25[[#This Row],[Date]],"mmm")</f>
        <v>Jan</v>
      </c>
      <c r="K2" s="14">
        <f>YEAR(Sales_Performance_Data__25[[#This Row],[Date]])</f>
        <v>2024</v>
      </c>
    </row>
    <row r="3" spans="1:11" x14ac:dyDescent="0.3">
      <c r="A3" s="2">
        <v>1002</v>
      </c>
      <c r="B3" s="3">
        <v>45298</v>
      </c>
      <c r="C3" s="4" t="s">
        <v>12</v>
      </c>
      <c r="D3" s="4" t="s">
        <v>13</v>
      </c>
      <c r="E3" s="4" t="s">
        <v>14</v>
      </c>
      <c r="F3" s="4">
        <v>15</v>
      </c>
      <c r="G3" s="5">
        <v>450</v>
      </c>
      <c r="H3" s="6">
        <v>0</v>
      </c>
      <c r="I3" s="5">
        <v>6750</v>
      </c>
      <c r="J3" s="4" t="str">
        <f>TEXT(Sales_Performance_Data__25[[#This Row],[Date]],"mmm")</f>
        <v>Jan</v>
      </c>
      <c r="K3" s="7">
        <f>YEAR(Sales_Performance_Data__25[[#This Row],[Date]])</f>
        <v>2024</v>
      </c>
    </row>
    <row r="4" spans="1:11" x14ac:dyDescent="0.3">
      <c r="A4" s="2">
        <v>1003</v>
      </c>
      <c r="B4" s="3">
        <v>45300</v>
      </c>
      <c r="C4" s="4" t="s">
        <v>15</v>
      </c>
      <c r="D4" s="4" t="s">
        <v>16</v>
      </c>
      <c r="E4" s="4" t="s">
        <v>17</v>
      </c>
      <c r="F4" s="4">
        <v>10</v>
      </c>
      <c r="G4" s="5">
        <v>1150</v>
      </c>
      <c r="H4" s="6">
        <v>0.1</v>
      </c>
      <c r="I4" s="5">
        <v>10350</v>
      </c>
      <c r="J4" s="4" t="str">
        <f>TEXT(Sales_Performance_Data__25[[#This Row],[Date]],"mmm")</f>
        <v>Jan</v>
      </c>
      <c r="K4" s="7">
        <f>YEAR(Sales_Performance_Data__25[[#This Row],[Date]])</f>
        <v>2024</v>
      </c>
    </row>
    <row r="5" spans="1:11" x14ac:dyDescent="0.3">
      <c r="A5" s="2">
        <v>1004</v>
      </c>
      <c r="B5" s="3">
        <v>45302</v>
      </c>
      <c r="C5" s="4" t="s">
        <v>18</v>
      </c>
      <c r="D5" s="4" t="s">
        <v>19</v>
      </c>
      <c r="E5" s="4" t="s">
        <v>20</v>
      </c>
      <c r="F5" s="4">
        <v>3</v>
      </c>
      <c r="G5" s="5">
        <v>9800</v>
      </c>
      <c r="H5" s="6">
        <v>0</v>
      </c>
      <c r="I5" s="5">
        <v>29400</v>
      </c>
      <c r="J5" s="4" t="str">
        <f>TEXT(Sales_Performance_Data__25[[#This Row],[Date]],"mmm")</f>
        <v>Jan</v>
      </c>
      <c r="K5" s="7">
        <f>YEAR(Sales_Performance_Data__25[[#This Row],[Date]])</f>
        <v>2024</v>
      </c>
    </row>
    <row r="6" spans="1:11" x14ac:dyDescent="0.3">
      <c r="A6" s="2">
        <v>1005</v>
      </c>
      <c r="B6" s="3">
        <v>45306</v>
      </c>
      <c r="C6" s="4" t="s">
        <v>9</v>
      </c>
      <c r="D6" s="4" t="s">
        <v>10</v>
      </c>
      <c r="E6" s="4" t="s">
        <v>11</v>
      </c>
      <c r="F6" s="4">
        <v>1</v>
      </c>
      <c r="G6" s="5">
        <v>56000</v>
      </c>
      <c r="H6" s="6">
        <v>0.05</v>
      </c>
      <c r="I6" s="5">
        <v>53200</v>
      </c>
      <c r="J6" s="4" t="str">
        <f>TEXT(Sales_Performance_Data__25[[#This Row],[Date]],"mmm")</f>
        <v>Jan</v>
      </c>
      <c r="K6" s="7">
        <f>YEAR(Sales_Performance_Data__25[[#This Row],[Date]])</f>
        <v>2024</v>
      </c>
    </row>
    <row r="7" spans="1:11" x14ac:dyDescent="0.3">
      <c r="A7" s="2">
        <v>1006</v>
      </c>
      <c r="B7" s="3">
        <v>45307</v>
      </c>
      <c r="C7" s="4" t="s">
        <v>12</v>
      </c>
      <c r="D7" s="4" t="s">
        <v>13</v>
      </c>
      <c r="E7" s="4" t="s">
        <v>21</v>
      </c>
      <c r="F7" s="4">
        <v>20</v>
      </c>
      <c r="G7" s="5">
        <v>1800</v>
      </c>
      <c r="H7" s="6">
        <v>0.1</v>
      </c>
      <c r="I7" s="5">
        <v>32400</v>
      </c>
      <c r="J7" s="4" t="str">
        <f>TEXT(Sales_Performance_Data__25[[#This Row],[Date]],"mmm")</f>
        <v>Jan</v>
      </c>
      <c r="K7" s="7">
        <f>YEAR(Sales_Performance_Data__25[[#This Row],[Date]])</f>
        <v>2024</v>
      </c>
    </row>
    <row r="8" spans="1:11" x14ac:dyDescent="0.3">
      <c r="A8" s="2">
        <v>1007</v>
      </c>
      <c r="B8" s="3">
        <v>45309</v>
      </c>
      <c r="C8" s="4" t="s">
        <v>15</v>
      </c>
      <c r="D8" s="4" t="s">
        <v>16</v>
      </c>
      <c r="E8" s="4" t="s">
        <v>14</v>
      </c>
      <c r="F8" s="4">
        <v>30</v>
      </c>
      <c r="G8" s="5">
        <v>450</v>
      </c>
      <c r="H8" s="6">
        <v>0.05</v>
      </c>
      <c r="I8" s="5">
        <v>12825</v>
      </c>
      <c r="J8" s="4" t="str">
        <f>TEXT(Sales_Performance_Data__25[[#This Row],[Date]],"mmm")</f>
        <v>Jan</v>
      </c>
      <c r="K8" s="7">
        <f>YEAR(Sales_Performance_Data__25[[#This Row],[Date]])</f>
        <v>2024</v>
      </c>
    </row>
    <row r="9" spans="1:11" x14ac:dyDescent="0.3">
      <c r="A9" s="2">
        <v>1008</v>
      </c>
      <c r="B9" s="3">
        <v>45311</v>
      </c>
      <c r="C9" s="4" t="s">
        <v>18</v>
      </c>
      <c r="D9" s="4" t="s">
        <v>19</v>
      </c>
      <c r="E9" s="4" t="s">
        <v>11</v>
      </c>
      <c r="F9" s="4">
        <v>1</v>
      </c>
      <c r="G9" s="5">
        <v>56000</v>
      </c>
      <c r="H9" s="6">
        <v>0</v>
      </c>
      <c r="I9" s="5">
        <v>56000</v>
      </c>
      <c r="J9" s="4" t="str">
        <f>TEXT(Sales_Performance_Data__25[[#This Row],[Date]],"mmm")</f>
        <v>Jan</v>
      </c>
      <c r="K9" s="7">
        <f>YEAR(Sales_Performance_Data__25[[#This Row],[Date]])</f>
        <v>2024</v>
      </c>
    </row>
    <row r="10" spans="1:11" x14ac:dyDescent="0.3">
      <c r="A10" s="2">
        <v>1009</v>
      </c>
      <c r="B10" s="3">
        <v>45312</v>
      </c>
      <c r="C10" s="4" t="s">
        <v>9</v>
      </c>
      <c r="D10" s="4" t="s">
        <v>10</v>
      </c>
      <c r="E10" s="4" t="s">
        <v>17</v>
      </c>
      <c r="F10" s="4">
        <v>6</v>
      </c>
      <c r="G10" s="5">
        <v>1150</v>
      </c>
      <c r="H10" s="6">
        <v>0</v>
      </c>
      <c r="I10" s="5">
        <v>6900</v>
      </c>
      <c r="J10" s="4" t="str">
        <f>TEXT(Sales_Performance_Data__25[[#This Row],[Date]],"mmm")</f>
        <v>Jan</v>
      </c>
      <c r="K10" s="7">
        <f>YEAR(Sales_Performance_Data__25[[#This Row],[Date]])</f>
        <v>2024</v>
      </c>
    </row>
    <row r="11" spans="1:11" x14ac:dyDescent="0.3">
      <c r="A11" s="2">
        <v>1010</v>
      </c>
      <c r="B11" s="3">
        <v>45313</v>
      </c>
      <c r="C11" s="4" t="s">
        <v>12</v>
      </c>
      <c r="D11" s="4" t="s">
        <v>13</v>
      </c>
      <c r="E11" s="4" t="s">
        <v>20</v>
      </c>
      <c r="F11" s="4">
        <v>2</v>
      </c>
      <c r="G11" s="5">
        <v>9800</v>
      </c>
      <c r="H11" s="6">
        <v>0.05</v>
      </c>
      <c r="I11" s="5">
        <v>18620</v>
      </c>
      <c r="J11" s="4" t="str">
        <f>TEXT(Sales_Performance_Data__25[[#This Row],[Date]],"mmm")</f>
        <v>Jan</v>
      </c>
      <c r="K11" s="7">
        <f>YEAR(Sales_Performance_Data__25[[#This Row],[Date]])</f>
        <v>2024</v>
      </c>
    </row>
    <row r="12" spans="1:11" x14ac:dyDescent="0.3">
      <c r="A12" s="2">
        <v>1011</v>
      </c>
      <c r="B12" s="3">
        <v>45316</v>
      </c>
      <c r="C12" s="4" t="s">
        <v>15</v>
      </c>
      <c r="D12" s="4" t="s">
        <v>16</v>
      </c>
      <c r="E12" s="4" t="s">
        <v>11</v>
      </c>
      <c r="F12" s="4">
        <v>1</v>
      </c>
      <c r="G12" s="5">
        <v>56000</v>
      </c>
      <c r="H12" s="6">
        <v>0.05</v>
      </c>
      <c r="I12" s="5">
        <v>53200</v>
      </c>
      <c r="J12" s="4" t="str">
        <f>TEXT(Sales_Performance_Data__25[[#This Row],[Date]],"mmm")</f>
        <v>Jan</v>
      </c>
      <c r="K12" s="7">
        <f>YEAR(Sales_Performance_Data__25[[#This Row],[Date]])</f>
        <v>2024</v>
      </c>
    </row>
    <row r="13" spans="1:11" x14ac:dyDescent="0.3">
      <c r="A13" s="2">
        <v>1012</v>
      </c>
      <c r="B13" s="3">
        <v>45317</v>
      </c>
      <c r="C13" s="4" t="s">
        <v>18</v>
      </c>
      <c r="D13" s="4" t="s">
        <v>19</v>
      </c>
      <c r="E13" s="4" t="s">
        <v>14</v>
      </c>
      <c r="F13" s="4">
        <v>40</v>
      </c>
      <c r="G13" s="5">
        <v>450</v>
      </c>
      <c r="H13" s="6">
        <v>0.1</v>
      </c>
      <c r="I13" s="5">
        <v>16200</v>
      </c>
      <c r="J13" s="4" t="str">
        <f>TEXT(Sales_Performance_Data__25[[#This Row],[Date]],"mmm")</f>
        <v>Jan</v>
      </c>
      <c r="K13" s="7">
        <f>YEAR(Sales_Performance_Data__25[[#This Row],[Date]])</f>
        <v>2024</v>
      </c>
    </row>
    <row r="14" spans="1:11" x14ac:dyDescent="0.3">
      <c r="A14" s="2">
        <v>1013</v>
      </c>
      <c r="B14" s="3">
        <v>45319</v>
      </c>
      <c r="C14" s="4" t="s">
        <v>9</v>
      </c>
      <c r="D14" s="4" t="s">
        <v>10</v>
      </c>
      <c r="E14" s="4" t="s">
        <v>21</v>
      </c>
      <c r="F14" s="4">
        <v>12</v>
      </c>
      <c r="G14" s="5">
        <v>1800</v>
      </c>
      <c r="H14" s="6">
        <v>0</v>
      </c>
      <c r="I14" s="5">
        <v>21600</v>
      </c>
      <c r="J14" s="4" t="str">
        <f>TEXT(Sales_Performance_Data__25[[#This Row],[Date]],"mmm")</f>
        <v>Jan</v>
      </c>
      <c r="K14" s="7">
        <f>YEAR(Sales_Performance_Data__25[[#This Row],[Date]])</f>
        <v>2024</v>
      </c>
    </row>
    <row r="15" spans="1:11" x14ac:dyDescent="0.3">
      <c r="A15" s="2">
        <v>1014</v>
      </c>
      <c r="B15" s="3">
        <v>45321</v>
      </c>
      <c r="C15" s="4" t="s">
        <v>12</v>
      </c>
      <c r="D15" s="4" t="s">
        <v>13</v>
      </c>
      <c r="E15" s="4" t="s">
        <v>11</v>
      </c>
      <c r="F15" s="4">
        <v>3</v>
      </c>
      <c r="G15" s="5">
        <v>56000</v>
      </c>
      <c r="H15" s="6">
        <v>0.1</v>
      </c>
      <c r="I15" s="5">
        <v>151200</v>
      </c>
      <c r="J15" s="4" t="str">
        <f>TEXT(Sales_Performance_Data__25[[#This Row],[Date]],"mmm")</f>
        <v>Jan</v>
      </c>
      <c r="K15" s="7">
        <f>YEAR(Sales_Performance_Data__25[[#This Row],[Date]])</f>
        <v>2024</v>
      </c>
    </row>
    <row r="16" spans="1:11" x14ac:dyDescent="0.3">
      <c r="A16" s="2">
        <v>1015</v>
      </c>
      <c r="B16" s="3">
        <v>45323</v>
      </c>
      <c r="C16" s="4" t="s">
        <v>15</v>
      </c>
      <c r="D16" s="4" t="s">
        <v>16</v>
      </c>
      <c r="E16" s="4" t="s">
        <v>20</v>
      </c>
      <c r="F16" s="4">
        <v>2</v>
      </c>
      <c r="G16" s="5">
        <v>9800</v>
      </c>
      <c r="H16" s="6">
        <v>0.05</v>
      </c>
      <c r="I16" s="5">
        <v>18620</v>
      </c>
      <c r="J16" s="4" t="str">
        <f>TEXT(Sales_Performance_Data__25[[#This Row],[Date]],"mmm")</f>
        <v>Feb</v>
      </c>
      <c r="K16" s="7">
        <f>YEAR(Sales_Performance_Data__25[[#This Row],[Date]])</f>
        <v>2024</v>
      </c>
    </row>
    <row r="17" spans="1:11" x14ac:dyDescent="0.3">
      <c r="A17" s="2">
        <v>1016</v>
      </c>
      <c r="B17" s="3">
        <v>45325</v>
      </c>
      <c r="C17" s="4" t="s">
        <v>18</v>
      </c>
      <c r="D17" s="4" t="s">
        <v>19</v>
      </c>
      <c r="E17" s="4" t="s">
        <v>17</v>
      </c>
      <c r="F17" s="4">
        <v>8</v>
      </c>
      <c r="G17" s="5">
        <v>1150</v>
      </c>
      <c r="H17" s="6">
        <v>0.05</v>
      </c>
      <c r="I17" s="5">
        <v>8740</v>
      </c>
      <c r="J17" s="4" t="str">
        <f>TEXT(Sales_Performance_Data__25[[#This Row],[Date]],"mmm")</f>
        <v>Feb</v>
      </c>
      <c r="K17" s="7">
        <f>YEAR(Sales_Performance_Data__25[[#This Row],[Date]])</f>
        <v>2024</v>
      </c>
    </row>
    <row r="18" spans="1:11" x14ac:dyDescent="0.3">
      <c r="A18" s="2">
        <v>1017</v>
      </c>
      <c r="B18" s="3">
        <v>45327</v>
      </c>
      <c r="C18" s="4" t="s">
        <v>9</v>
      </c>
      <c r="D18" s="4" t="s">
        <v>10</v>
      </c>
      <c r="E18" s="4" t="s">
        <v>14</v>
      </c>
      <c r="F18" s="4">
        <v>25</v>
      </c>
      <c r="G18" s="5">
        <v>450</v>
      </c>
      <c r="H18" s="6">
        <v>0.05</v>
      </c>
      <c r="I18" s="5">
        <v>10687.5</v>
      </c>
      <c r="J18" s="4" t="str">
        <f>TEXT(Sales_Performance_Data__25[[#This Row],[Date]],"mmm")</f>
        <v>Feb</v>
      </c>
      <c r="K18" s="7">
        <f>YEAR(Sales_Performance_Data__25[[#This Row],[Date]])</f>
        <v>2024</v>
      </c>
    </row>
    <row r="19" spans="1:11" x14ac:dyDescent="0.3">
      <c r="A19" s="2">
        <v>1018</v>
      </c>
      <c r="B19" s="3">
        <v>45329</v>
      </c>
      <c r="C19" s="4" t="s">
        <v>12</v>
      </c>
      <c r="D19" s="4" t="s">
        <v>13</v>
      </c>
      <c r="E19" s="4" t="s">
        <v>11</v>
      </c>
      <c r="F19" s="4">
        <v>1</v>
      </c>
      <c r="G19" s="5">
        <v>56000</v>
      </c>
      <c r="H19" s="6">
        <v>0</v>
      </c>
      <c r="I19" s="5">
        <v>56000</v>
      </c>
      <c r="J19" s="4" t="str">
        <f>TEXT(Sales_Performance_Data__25[[#This Row],[Date]],"mmm")</f>
        <v>Feb</v>
      </c>
      <c r="K19" s="7">
        <f>YEAR(Sales_Performance_Data__25[[#This Row],[Date]])</f>
        <v>2024</v>
      </c>
    </row>
    <row r="20" spans="1:11" x14ac:dyDescent="0.3">
      <c r="A20" s="2">
        <v>1019</v>
      </c>
      <c r="B20" s="3">
        <v>45330</v>
      </c>
      <c r="C20" s="4" t="s">
        <v>15</v>
      </c>
      <c r="D20" s="4" t="s">
        <v>16</v>
      </c>
      <c r="E20" s="4" t="s">
        <v>21</v>
      </c>
      <c r="F20" s="4">
        <v>15</v>
      </c>
      <c r="G20" s="5">
        <v>1800</v>
      </c>
      <c r="H20" s="6">
        <v>0.1</v>
      </c>
      <c r="I20" s="5">
        <v>24300</v>
      </c>
      <c r="J20" s="4" t="str">
        <f>TEXT(Sales_Performance_Data__25[[#This Row],[Date]],"mmm")</f>
        <v>Feb</v>
      </c>
      <c r="K20" s="7">
        <f>YEAR(Sales_Performance_Data__25[[#This Row],[Date]])</f>
        <v>2024</v>
      </c>
    </row>
    <row r="21" spans="1:11" x14ac:dyDescent="0.3">
      <c r="A21" s="8">
        <v>1020</v>
      </c>
      <c r="B21" s="9">
        <v>45332</v>
      </c>
      <c r="C21" s="10" t="s">
        <v>18</v>
      </c>
      <c r="D21" s="10" t="s">
        <v>19</v>
      </c>
      <c r="E21" s="10" t="s">
        <v>20</v>
      </c>
      <c r="F21" s="10">
        <v>1</v>
      </c>
      <c r="G21" s="11">
        <v>9800</v>
      </c>
      <c r="H21" s="12">
        <v>0</v>
      </c>
      <c r="I21" s="11">
        <v>9800</v>
      </c>
      <c r="J21" s="10" t="str">
        <f>TEXT(Sales_Performance_Data__25[[#This Row],[Date]],"mmm")</f>
        <v>Feb</v>
      </c>
      <c r="K21" s="13">
        <f>YEAR(Sales_Performance_Data__25[[#This Row],[Date]])</f>
        <v>2024</v>
      </c>
    </row>
  </sheetData>
  <conditionalFormatting sqref="A2:A21">
    <cfRule type="duplicateValues" dxfId="24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FC91-40A8-4AC7-B01A-880115B1F218}">
  <dimension ref="A2:AB50"/>
  <sheetViews>
    <sheetView topLeftCell="A4" zoomScale="60" zoomScaleNormal="60" workbookViewId="0">
      <selection activeCell="AF17" sqref="AF17"/>
    </sheetView>
  </sheetViews>
  <sheetFormatPr defaultRowHeight="14.4" x14ac:dyDescent="0.3"/>
  <cols>
    <col min="1" max="1" width="18.21875" bestFit="1" customWidth="1"/>
    <col min="2" max="2" width="25.109375" bestFit="1" customWidth="1"/>
  </cols>
  <sheetData>
    <row r="2" spans="1:28" ht="31.2" x14ac:dyDescent="0.6">
      <c r="A2" s="27" t="s">
        <v>28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8" ht="15.6" x14ac:dyDescent="0.3">
      <c r="A3" s="28" t="s">
        <v>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7" spans="1:28" x14ac:dyDescent="0.3">
      <c r="B7" s="29"/>
      <c r="C7" s="29"/>
      <c r="D7" s="29"/>
    </row>
    <row r="10" spans="1:28" x14ac:dyDescent="0.3">
      <c r="AB10" s="29"/>
    </row>
    <row r="17" spans="1:2" ht="23.4" x14ac:dyDescent="0.45">
      <c r="A17" s="23" t="s">
        <v>22</v>
      </c>
      <c r="B17" s="24" t="s">
        <v>27</v>
      </c>
    </row>
    <row r="18" spans="1:2" ht="23.4" x14ac:dyDescent="0.45">
      <c r="A18" s="25" t="s">
        <v>24</v>
      </c>
      <c r="B18" s="26">
        <v>575045</v>
      </c>
    </row>
    <row r="19" spans="1:2" ht="23.4" x14ac:dyDescent="0.45">
      <c r="A19" s="25" t="s">
        <v>25</v>
      </c>
      <c r="B19" s="26">
        <v>128147.5</v>
      </c>
    </row>
    <row r="20" spans="1:2" ht="23.4" x14ac:dyDescent="0.45">
      <c r="A20" s="25" t="s">
        <v>26</v>
      </c>
      <c r="B20" s="26">
        <v>703192.5</v>
      </c>
    </row>
    <row r="29" spans="1:2" ht="23.4" x14ac:dyDescent="0.45">
      <c r="A29" s="23" t="s">
        <v>2</v>
      </c>
      <c r="B29" s="24" t="s">
        <v>27</v>
      </c>
    </row>
    <row r="30" spans="1:2" ht="23.4" x14ac:dyDescent="0.45">
      <c r="A30" s="25" t="s">
        <v>12</v>
      </c>
      <c r="B30" s="26">
        <v>264970</v>
      </c>
    </row>
    <row r="31" spans="1:2" ht="23.4" x14ac:dyDescent="0.45">
      <c r="A31" s="25" t="s">
        <v>9</v>
      </c>
      <c r="B31" s="26">
        <v>198787.5</v>
      </c>
    </row>
    <row r="32" spans="1:2" ht="23.4" x14ac:dyDescent="0.45">
      <c r="A32" s="25" t="s">
        <v>18</v>
      </c>
      <c r="B32" s="26">
        <v>120140</v>
      </c>
    </row>
    <row r="33" spans="1:2" ht="23.4" x14ac:dyDescent="0.45">
      <c r="A33" s="25" t="s">
        <v>15</v>
      </c>
      <c r="B33" s="26">
        <v>119295</v>
      </c>
    </row>
    <row r="34" spans="1:2" ht="23.4" x14ac:dyDescent="0.45">
      <c r="A34" s="25" t="s">
        <v>26</v>
      </c>
      <c r="B34" s="26">
        <v>703192.5</v>
      </c>
    </row>
    <row r="44" spans="1:2" ht="23.4" x14ac:dyDescent="0.45">
      <c r="A44" s="23" t="s">
        <v>4</v>
      </c>
      <c r="B44" s="24" t="s">
        <v>27</v>
      </c>
    </row>
    <row r="45" spans="1:2" ht="23.4" x14ac:dyDescent="0.45">
      <c r="A45" s="25" t="s">
        <v>11</v>
      </c>
      <c r="B45" s="26">
        <v>476000</v>
      </c>
    </row>
    <row r="46" spans="1:2" ht="23.4" x14ac:dyDescent="0.45">
      <c r="A46" s="25" t="s">
        <v>21</v>
      </c>
      <c r="B46" s="26">
        <v>78300</v>
      </c>
    </row>
    <row r="47" spans="1:2" ht="23.4" x14ac:dyDescent="0.45">
      <c r="A47" s="25" t="s">
        <v>20</v>
      </c>
      <c r="B47" s="26">
        <v>76440</v>
      </c>
    </row>
    <row r="48" spans="1:2" ht="23.4" x14ac:dyDescent="0.45">
      <c r="A48" s="25" t="s">
        <v>14</v>
      </c>
      <c r="B48" s="26">
        <v>46462.5</v>
      </c>
    </row>
    <row r="49" spans="1:2" ht="23.4" x14ac:dyDescent="0.45">
      <c r="A49" s="25" t="s">
        <v>17</v>
      </c>
      <c r="B49" s="26">
        <v>25990</v>
      </c>
    </row>
    <row r="50" spans="1:2" ht="23.4" x14ac:dyDescent="0.45">
      <c r="A50" s="25" t="s">
        <v>26</v>
      </c>
      <c r="B50" s="26">
        <v>703192.5</v>
      </c>
    </row>
  </sheetData>
  <mergeCells count="2">
    <mergeCell ref="A2:Y2"/>
    <mergeCell ref="A3:Y3"/>
  </mergeCells>
  <pageMargins left="0.7" right="0.7" top="0.75" bottom="0.75" header="0.3" footer="0.3"/>
  <pageSetup scale="49" fitToWidth="0" fitToHeight="0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E6DE646-B3CA-48F0-82E4-A167FA291AE2}">
  <ds:schemaRefs/>
</ds:datastoreItem>
</file>

<file path=customXml/itemProps2.xml><?xml version="1.0" encoding="utf-8"?>
<ds:datastoreItem xmlns:ds="http://schemas.openxmlformats.org/officeDocument/2006/customXml" ds:itemID="{A0D17835-6C69-4013-B653-4E82D37F394C}">
  <ds:schemaRefs/>
</ds:datastoreItem>
</file>

<file path=customXml/itemProps3.xml><?xml version="1.0" encoding="utf-8"?>
<ds:datastoreItem xmlns:ds="http://schemas.openxmlformats.org/officeDocument/2006/customXml" ds:itemID="{C4945E27-0076-4DF5-8707-05BB6684DCED}">
  <ds:schemaRefs/>
</ds:datastoreItem>
</file>

<file path=customXml/itemProps4.xml><?xml version="1.0" encoding="utf-8"?>
<ds:datastoreItem xmlns:ds="http://schemas.openxmlformats.org/officeDocument/2006/customXml" ds:itemID="{0CB90ABC-62EA-41D7-B121-1601AFF62B29}">
  <ds:schemaRefs/>
</ds:datastoreItem>
</file>

<file path=customXml/itemProps5.xml><?xml version="1.0" encoding="utf-8"?>
<ds:datastoreItem xmlns:ds="http://schemas.openxmlformats.org/officeDocument/2006/customXml" ds:itemID="{8537DC56-5734-429E-81D3-775B01C4F695}">
  <ds:schemaRefs/>
</ds:datastoreItem>
</file>

<file path=customXml/itemProps6.xml><?xml version="1.0" encoding="utf-8"?>
<ds:datastoreItem xmlns:ds="http://schemas.openxmlformats.org/officeDocument/2006/customXml" ds:itemID="{36944D59-702D-4C9C-A8C5-7995DAE67290}">
  <ds:schemaRefs/>
</ds:datastoreItem>
</file>

<file path=customXml/itemProps7.xml><?xml version="1.0" encoding="utf-8"?>
<ds:datastoreItem xmlns:ds="http://schemas.openxmlformats.org/officeDocument/2006/customXml" ds:itemID="{361876F6-1E13-4893-B4D4-622C7CA62954}">
  <ds:schemaRefs/>
</ds:datastoreItem>
</file>

<file path=customXml/itemProps8.xml><?xml version="1.0" encoding="utf-8"?>
<ds:datastoreItem xmlns:ds="http://schemas.openxmlformats.org/officeDocument/2006/customXml" ds:itemID="{A3EE222C-DF9D-4AF0-A315-A52AA8D422DB}">
  <ds:schemaRefs/>
</ds:datastoreItem>
</file>

<file path=customXml/itemProps9.xml><?xml version="1.0" encoding="utf-8"?>
<ds:datastoreItem xmlns:ds="http://schemas.openxmlformats.org/officeDocument/2006/customXml" ds:itemID="{694909C3-33A3-4045-B945-E6E4DBA0AC9F}">
  <ds:schemaRefs/>
</ds:datastoreItem>
</file>

<file path=customXml/itemProps10.xml><?xml version="1.0" encoding="utf-8"?>
<ds:datastoreItem xmlns:ds="http://schemas.openxmlformats.org/officeDocument/2006/customXml" ds:itemID="{A5EAF276-4146-4267-B0A2-4A7215AB163E}">
  <ds:schemaRefs/>
</ds:datastoreItem>
</file>

<file path=customXml/itemProps11.xml><?xml version="1.0" encoding="utf-8"?>
<ds:datastoreItem xmlns:ds="http://schemas.openxmlformats.org/officeDocument/2006/customXml" ds:itemID="{34ADB2AC-EB67-4E33-B904-E4BDB56A0F77}">
  <ds:schemaRefs/>
</ds:datastoreItem>
</file>

<file path=customXml/itemProps12.xml><?xml version="1.0" encoding="utf-8"?>
<ds:datastoreItem xmlns:ds="http://schemas.openxmlformats.org/officeDocument/2006/customXml" ds:itemID="{A101F539-6276-4543-8E2B-9052164680F8}">
  <ds:schemaRefs/>
</ds:datastoreItem>
</file>

<file path=customXml/itemProps13.xml><?xml version="1.0" encoding="utf-8"?>
<ds:datastoreItem xmlns:ds="http://schemas.openxmlformats.org/officeDocument/2006/customXml" ds:itemID="{31CB21BC-66A3-4923-9D18-24F32FC884ED}">
  <ds:schemaRefs/>
</ds:datastoreItem>
</file>

<file path=customXml/itemProps14.xml><?xml version="1.0" encoding="utf-8"?>
<ds:datastoreItem xmlns:ds="http://schemas.openxmlformats.org/officeDocument/2006/customXml" ds:itemID="{E26064CD-9206-4A19-A968-FF3976531E4C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2ACF8A4C-2840-48CF-B035-9B7B266C668A}">
  <ds:schemaRefs/>
</ds:datastoreItem>
</file>

<file path=customXml/itemProps16.xml><?xml version="1.0" encoding="utf-8"?>
<ds:datastoreItem xmlns:ds="http://schemas.openxmlformats.org/officeDocument/2006/customXml" ds:itemID="{9F9F81E5-BBD7-49BD-93CF-10734DBC97AC}">
  <ds:schemaRefs/>
</ds:datastoreItem>
</file>

<file path=customXml/itemProps17.xml><?xml version="1.0" encoding="utf-8"?>
<ds:datastoreItem xmlns:ds="http://schemas.openxmlformats.org/officeDocument/2006/customXml" ds:itemID="{BDEF251C-7A80-4AA7-B6C6-8DE58C62F8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Performance Raw Data</vt:lpstr>
      <vt:lpstr>Sales Performance Cleaned Data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gupta</dc:creator>
  <cp:lastModifiedBy>kartik gupta</cp:lastModifiedBy>
  <cp:lastPrinted>2025-11-18T11:38:39Z</cp:lastPrinted>
  <dcterms:created xsi:type="dcterms:W3CDTF">2025-11-17T12:30:35Z</dcterms:created>
  <dcterms:modified xsi:type="dcterms:W3CDTF">2025-11-18T11:43:01Z</dcterms:modified>
</cp:coreProperties>
</file>